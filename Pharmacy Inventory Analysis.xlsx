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240" yWindow="60" windowWidth="11475" windowHeight="5445" tabRatio="685"/>
  </bookViews>
  <sheets>
    <sheet name="Sheet1" sheetId="1" r:id="rId1"/>
    <sheet name="Sheet4" sheetId="4" r:id="rId2"/>
    <sheet name="Sheet5" sheetId="5" r:id="rId3"/>
    <sheet name="Sheet6" sheetId="6" r:id="rId4"/>
    <sheet name="Dashboard" sheetId="9" r:id="rId5"/>
    <sheet name="PIA Dashboard" sheetId="2" r:id="rId6"/>
    <sheet name="Sheet3" sheetId="3" state="hidden" r:id="rId7"/>
    <sheet name="Sheet7" sheetId="7" state="hidden" r:id="rId8"/>
  </sheets>
  <calcPr calcId="125725"/>
  <pivotCaches>
    <pivotCache cacheId="0" r:id="rId9"/>
  </pivotCaches>
</workbook>
</file>

<file path=xl/calcChain.xml><?xml version="1.0" encoding="utf-8"?>
<calcChain xmlns="http://schemas.openxmlformats.org/spreadsheetml/2006/main">
  <c r="C4" i="9"/>
  <c r="A4"/>
  <c r="S3" i="1"/>
  <c r="S4"/>
  <c r="S5"/>
  <c r="S6"/>
  <c r="S7"/>
  <c r="S8"/>
  <c r="S9"/>
  <c r="S10"/>
  <c r="S11"/>
  <c r="S12"/>
  <c r="S13"/>
  <c r="S14"/>
  <c r="S15"/>
  <c r="S16"/>
  <c r="S17"/>
  <c r="S18"/>
  <c r="S19"/>
  <c r="S20"/>
  <c r="S21"/>
  <c r="S2"/>
  <c r="P8"/>
  <c r="P9"/>
  <c r="P10"/>
  <c r="P11"/>
  <c r="P12"/>
  <c r="P13"/>
  <c r="P14"/>
  <c r="P15"/>
  <c r="P16"/>
  <c r="P17"/>
  <c r="P18"/>
  <c r="P19"/>
  <c r="P20"/>
  <c r="P21"/>
  <c r="P3"/>
  <c r="P4"/>
  <c r="P5"/>
  <c r="P6"/>
  <c r="P7"/>
  <c r="P2"/>
  <c r="H3"/>
  <c r="O2"/>
  <c r="N2"/>
  <c r="M2"/>
  <c r="K2"/>
  <c r="J2"/>
  <c r="I2"/>
  <c r="H7"/>
  <c r="H8"/>
  <c r="H9"/>
  <c r="H10"/>
  <c r="H11"/>
  <c r="H12"/>
  <c r="H13"/>
  <c r="H14"/>
  <c r="H15"/>
  <c r="H16"/>
  <c r="H17"/>
  <c r="H18"/>
  <c r="H19"/>
  <c r="H20"/>
  <c r="H21"/>
  <c r="G7"/>
  <c r="G8"/>
  <c r="G9"/>
  <c r="G10"/>
  <c r="G11"/>
  <c r="G12"/>
  <c r="G13"/>
  <c r="G14"/>
  <c r="G15"/>
  <c r="G16"/>
  <c r="G17"/>
  <c r="G18"/>
  <c r="G19"/>
  <c r="G20"/>
  <c r="G21"/>
  <c r="H4"/>
  <c r="H5"/>
  <c r="H6"/>
  <c r="H2"/>
  <c r="G4" i="9" s="1"/>
  <c r="G3" i="1"/>
  <c r="G4"/>
  <c r="G5"/>
  <c r="G6"/>
  <c r="G2"/>
  <c r="E4" i="9" s="1"/>
  <c r="I4" l="1"/>
  <c r="L2" i="1"/>
</calcChain>
</file>

<file path=xl/sharedStrings.xml><?xml version="1.0" encoding="utf-8"?>
<sst xmlns="http://schemas.openxmlformats.org/spreadsheetml/2006/main" count="160" uniqueCount="108">
  <si>
    <t>Medicine</t>
  </si>
  <si>
    <t>Category</t>
  </si>
  <si>
    <t>stock</t>
  </si>
  <si>
    <t>Price</t>
  </si>
  <si>
    <t>Expiry</t>
  </si>
  <si>
    <t>Supplier</t>
  </si>
  <si>
    <t>Paracetamol</t>
  </si>
  <si>
    <t>Amoxicilin</t>
  </si>
  <si>
    <t>Cetirizine</t>
  </si>
  <si>
    <t>Azithromycin</t>
  </si>
  <si>
    <t>Pantoprazole</t>
  </si>
  <si>
    <t>Painkiller</t>
  </si>
  <si>
    <t>Antibiotic</t>
  </si>
  <si>
    <t>GI</t>
  </si>
  <si>
    <t>15-06-2027</t>
  </si>
  <si>
    <t>20-12-2026</t>
  </si>
  <si>
    <t>25-08-2027</t>
  </si>
  <si>
    <t>ABC Pharma</t>
  </si>
  <si>
    <t>MedCare</t>
  </si>
  <si>
    <t>HealthPlus</t>
  </si>
  <si>
    <t>Inventory  Value</t>
  </si>
  <si>
    <t>Low Stock</t>
  </si>
  <si>
    <t>Total stock</t>
  </si>
  <si>
    <t>Total Medicine</t>
  </si>
  <si>
    <t>Category-wise stock</t>
  </si>
  <si>
    <t>Supplier-Wise Inventory Value</t>
  </si>
  <si>
    <t>Average Price</t>
  </si>
  <si>
    <t>Highest Price</t>
  </si>
  <si>
    <t>Lowest price</t>
  </si>
  <si>
    <t>Ibuprofen</t>
  </si>
  <si>
    <t>18-04-2027</t>
  </si>
  <si>
    <t>Metformin</t>
  </si>
  <si>
    <t>Diabetes</t>
  </si>
  <si>
    <t>Omeprazole</t>
  </si>
  <si>
    <t>30-11-2026</t>
  </si>
  <si>
    <t>Levocetirizine</t>
  </si>
  <si>
    <t>Allergy</t>
  </si>
  <si>
    <t>22-07-2027</t>
  </si>
  <si>
    <t>Ciprofloxacin</t>
  </si>
  <si>
    <t>15-10-2026</t>
  </si>
  <si>
    <t>Amlodipine</t>
  </si>
  <si>
    <t>Blood Pressure</t>
  </si>
  <si>
    <t>28-03-2027</t>
  </si>
  <si>
    <t>Atorvastatin</t>
  </si>
  <si>
    <t>Cholesterol</t>
  </si>
  <si>
    <t>19-09-2027</t>
  </si>
  <si>
    <t>Diclofenac</t>
  </si>
  <si>
    <t>Glimepiride</t>
  </si>
  <si>
    <t>14-05-2027</t>
  </si>
  <si>
    <t>Montelukast</t>
  </si>
  <si>
    <t>20-01-2027</t>
  </si>
  <si>
    <t>Doxycycline</t>
  </si>
  <si>
    <t>Losartan</t>
  </si>
  <si>
    <t>16-02-2027</t>
  </si>
  <si>
    <t>Rosuvastatin</t>
  </si>
  <si>
    <t>25-10-2027</t>
  </si>
  <si>
    <t>Ondansetron</t>
  </si>
  <si>
    <t>Calcium + D3</t>
  </si>
  <si>
    <t>Supplement</t>
  </si>
  <si>
    <t>30-08-2027</t>
  </si>
  <si>
    <t>Expiry Status</t>
  </si>
  <si>
    <t>Location</t>
  </si>
  <si>
    <t>LifeCare</t>
  </si>
  <si>
    <t>Raipur</t>
  </si>
  <si>
    <t>Bhilai</t>
  </si>
  <si>
    <t>Durg</t>
  </si>
  <si>
    <t>Bilaspur</t>
  </si>
  <si>
    <t>Nagpur</t>
  </si>
  <si>
    <t>Supplier Location</t>
  </si>
  <si>
    <t>Row Labels</t>
  </si>
  <si>
    <t>Grand Total</t>
  </si>
  <si>
    <t>Sum of stock</t>
  </si>
  <si>
    <t>Sum of Inventory  Value</t>
  </si>
  <si>
    <t>Low stock</t>
  </si>
  <si>
    <t>Normal</t>
  </si>
  <si>
    <t>Count of Medicine</t>
  </si>
  <si>
    <t>Expired</t>
  </si>
  <si>
    <t>Near Expiry</t>
  </si>
  <si>
    <t>Safe</t>
  </si>
  <si>
    <t>PHARMACY INVENTORY DASHBOARD</t>
  </si>
  <si>
    <t>Total Medicines</t>
  </si>
  <si>
    <t>Total Stock</t>
  </si>
  <si>
    <t>Total Inventory Value</t>
  </si>
  <si>
    <t>Low Stock Medicines</t>
  </si>
  <si>
    <t>Near Expiry Medicines</t>
  </si>
  <si>
    <t>1. Total inventory contain 20 Medicines and 1430 units of stock</t>
  </si>
  <si>
    <t>2. 7 Medicines are currently classified  as low Stock</t>
  </si>
  <si>
    <t>3. Category-wise analysis shows which medicine categories hold the highest stock</t>
  </si>
  <si>
    <t>4. Expiry analysis identifies medicines requiring attention before expiry</t>
  </si>
  <si>
    <t>KEY FINDINGS :-</t>
  </si>
  <si>
    <t>RECOMMENDATIONS:-</t>
  </si>
  <si>
    <t>1. Reorder medicines with Low stock status</t>
  </si>
  <si>
    <t xml:space="preserve">2. Monitor Near Expiry medicines and prioritize their usage </t>
  </si>
  <si>
    <t>3. Review supplier-wise inventory value to manage purchasing efficiently</t>
  </si>
  <si>
    <t>4. Regularly update stock and expiry data for better inventory control</t>
  </si>
  <si>
    <t>Pharmacy  Inventory Analysis Dashboard</t>
  </si>
  <si>
    <t>Project Objective</t>
  </si>
  <si>
    <t xml:space="preserve">To  analysis pharmacy inventory ,stock levels, inventory value ,suppliers and medicine expiry status using Microsoft Excel. </t>
  </si>
  <si>
    <t>Tools Used</t>
  </si>
  <si>
    <t>Microsoft Excel,Pivot Tbales,VLOOKUP,IF,COUNTIF,SUMIF,Conditional Formatting, Charts.</t>
  </si>
  <si>
    <t>Key Analysis</t>
  </si>
  <si>
    <t>Inventory Value Analysis</t>
  </si>
  <si>
    <t>low-stock identification</t>
  </si>
  <si>
    <t>Expiry-risk analysis</t>
  </si>
  <si>
    <t>Category-wise stock analysis</t>
  </si>
  <si>
    <t>Supplier-wise inventory analysis</t>
  </si>
  <si>
    <t>Interactive-style dashboard</t>
  </si>
  <si>
    <t>Data Cleaning|Excel Formulas|Pivot Tables|Data Visualization|Dashboard Creation|Basic Data Analysis</t>
  </si>
</sst>
</file>

<file path=xl/styles.xml><?xml version="1.0" encoding="utf-8"?>
<styleSheet xmlns="http://schemas.openxmlformats.org/spreadsheetml/2006/main">
  <numFmts count="1">
    <numFmt numFmtId="164" formatCode="_([$$-409]* #,##0.00_);_([$$-409]* \(#,##0.00\);_([$$-409]* &quot;-&quot;??_);_(@_)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0" fillId="0" borderId="1" xfId="0" applyBorder="1"/>
    <xf numFmtId="0" fontId="0" fillId="2" borderId="1" xfId="0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0" fillId="2" borderId="1" xfId="0" applyFont="1" applyFill="1" applyBorder="1" applyAlignment="1">
      <alignment horizontal="right"/>
    </xf>
    <xf numFmtId="14" fontId="0" fillId="2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0" fontId="0" fillId="0" borderId="0" xfId="0" applyAlignment="1">
      <alignment wrapText="1"/>
    </xf>
    <xf numFmtId="0" fontId="0" fillId="2" borderId="1" xfId="0" applyFont="1" applyFill="1" applyBorder="1"/>
    <xf numFmtId="0" fontId="0" fillId="0" borderId="0" xfId="0" applyFont="1"/>
    <xf numFmtId="0" fontId="2" fillId="2" borderId="3" xfId="0" applyFont="1" applyFill="1" applyBorder="1" applyAlignment="1">
      <alignment horizontal="right"/>
    </xf>
    <xf numFmtId="0" fontId="3" fillId="2" borderId="3" xfId="0" applyFont="1" applyFill="1" applyBorder="1"/>
    <xf numFmtId="0" fontId="0" fillId="2" borderId="1" xfId="0" applyFont="1" applyFill="1" applyBorder="1" applyAlignment="1">
      <alignment horizontal="right" wrapText="1"/>
    </xf>
    <xf numFmtId="14" fontId="0" fillId="2" borderId="1" xfId="0" applyNumberFormat="1" applyFont="1" applyFill="1" applyBorder="1" applyAlignment="1">
      <alignment horizontal="right" wrapText="1"/>
    </xf>
    <xf numFmtId="0" fontId="0" fillId="2" borderId="1" xfId="0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4" xfId="0" pivotButton="1" applyBorder="1"/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NumberFormat="1" applyBorder="1"/>
    <xf numFmtId="0" fontId="0" fillId="0" borderId="8" xfId="0" applyBorder="1" applyAlignment="1">
      <alignment horizontal="left"/>
    </xf>
    <xf numFmtId="0" fontId="0" fillId="0" borderId="9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164" fontId="4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[Pharmacy Inventory Analysis.xlsx]Sheet4!PivotTable1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Category</a:t>
            </a:r>
            <a:r>
              <a:rPr lang="en-US" baseline="0"/>
              <a:t>-wise Medicine Stock</a:t>
            </a:r>
            <a:endParaRPr lang="en-US"/>
          </a:p>
        </c:rich>
      </c:tx>
      <c:layout>
        <c:manualLayout>
          <c:xMode val="edge"/>
          <c:yMode val="edge"/>
          <c:x val="0.30249349404572834"/>
          <c:y val="0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0034951881014876"/>
          <c:y val="6.9919072615923034E-2"/>
          <c:w val="0.52094356955380583"/>
          <c:h val="0.64960848643919644"/>
        </c:manualLayout>
      </c:layout>
      <c:barChart>
        <c:barDir val="col"/>
        <c:grouping val="clustered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Sheet4!$A$4:$A$12</c:f>
              <c:strCache>
                <c:ptCount val="8"/>
                <c:pt idx="0">
                  <c:v>Allergy</c:v>
                </c:pt>
                <c:pt idx="1">
                  <c:v>Antibiotic</c:v>
                </c:pt>
                <c:pt idx="2">
                  <c:v>Blood Pressure</c:v>
                </c:pt>
                <c:pt idx="3">
                  <c:v>Cholesterol</c:v>
                </c:pt>
                <c:pt idx="4">
                  <c:v>Diabetes</c:v>
                </c:pt>
                <c:pt idx="5">
                  <c:v>GI</c:v>
                </c:pt>
                <c:pt idx="6">
                  <c:v>Painkiller</c:v>
                </c:pt>
                <c:pt idx="7">
                  <c:v>Supplement</c:v>
                </c:pt>
              </c:strCache>
            </c:strRef>
          </c:cat>
          <c:val>
            <c:numRef>
              <c:f>Sheet4!$B$4:$B$12</c:f>
              <c:numCache>
                <c:formatCode>General</c:formatCode>
                <c:ptCount val="8"/>
                <c:pt idx="0">
                  <c:v>210</c:v>
                </c:pt>
                <c:pt idx="1">
                  <c:v>142</c:v>
                </c:pt>
                <c:pt idx="2">
                  <c:v>180</c:v>
                </c:pt>
                <c:pt idx="3">
                  <c:v>150</c:v>
                </c:pt>
                <c:pt idx="4">
                  <c:v>180</c:v>
                </c:pt>
                <c:pt idx="5">
                  <c:v>218</c:v>
                </c:pt>
                <c:pt idx="6">
                  <c:v>220</c:v>
                </c:pt>
                <c:pt idx="7">
                  <c:v>130</c:v>
                </c:pt>
              </c:numCache>
            </c:numRef>
          </c:val>
        </c:ser>
        <c:axId val="69766144"/>
        <c:axId val="69784320"/>
      </c:barChart>
      <c:catAx>
        <c:axId val="69766144"/>
        <c:scaling>
          <c:orientation val="minMax"/>
        </c:scaling>
        <c:axPos val="b"/>
        <c:tickLblPos val="nextTo"/>
        <c:crossAx val="69784320"/>
        <c:crosses val="autoZero"/>
        <c:auto val="1"/>
        <c:lblAlgn val="ctr"/>
        <c:lblOffset val="100"/>
      </c:catAx>
      <c:valAx>
        <c:axId val="69784320"/>
        <c:scaling>
          <c:orientation val="minMax"/>
        </c:scaling>
        <c:axPos val="l"/>
        <c:majorGridlines/>
        <c:numFmt formatCode="General" sourceLinked="1"/>
        <c:tickLblPos val="nextTo"/>
        <c:crossAx val="6976614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[Pharmacy Inventory Analysis.xlsx]Sheet5!PivotTable2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Supplier</a:t>
            </a:r>
            <a:r>
              <a:rPr lang="en-US" baseline="0"/>
              <a:t>-wise Inventory Value</a:t>
            </a:r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Sheet5!$A$4:$A$7</c:f>
              <c:strCache>
                <c:ptCount val="3"/>
                <c:pt idx="0">
                  <c:v>ABC Pharma</c:v>
                </c:pt>
                <c:pt idx="1">
                  <c:v>HealthPlus</c:v>
                </c:pt>
                <c:pt idx="2">
                  <c:v>MedCare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21055</c:v>
                </c:pt>
                <c:pt idx="1">
                  <c:v>26900</c:v>
                </c:pt>
                <c:pt idx="2">
                  <c:v>45575</c:v>
                </c:pt>
              </c:numCache>
            </c:numRef>
          </c:val>
        </c:ser>
        <c:axId val="70112384"/>
        <c:axId val="70113920"/>
      </c:barChart>
      <c:catAx>
        <c:axId val="70112384"/>
        <c:scaling>
          <c:orientation val="minMax"/>
        </c:scaling>
        <c:axPos val="b"/>
        <c:tickLblPos val="nextTo"/>
        <c:crossAx val="70113920"/>
        <c:crosses val="autoZero"/>
        <c:auto val="1"/>
        <c:lblAlgn val="ctr"/>
        <c:lblOffset val="100"/>
      </c:catAx>
      <c:valAx>
        <c:axId val="70113920"/>
        <c:scaling>
          <c:orientation val="minMax"/>
        </c:scaling>
        <c:axPos val="l"/>
        <c:majorGridlines/>
        <c:numFmt formatCode="General" sourceLinked="1"/>
        <c:tickLblPos val="nextTo"/>
        <c:crossAx val="7011238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[Pharmacy Inventory Analysis.xlsx]Sheet6!PivotTable3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Medicine</a:t>
            </a:r>
            <a:r>
              <a:rPr lang="en-US" baseline="0"/>
              <a:t> Expiry Status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Sheet6!$A$4:$A$6</c:f>
              <c:strCache>
                <c:ptCount val="2"/>
                <c:pt idx="0">
                  <c:v>Low stock</c:v>
                </c:pt>
                <c:pt idx="1">
                  <c:v>Normal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7</c:v>
                </c:pt>
                <c:pt idx="1">
                  <c:v>13</c:v>
                </c:pt>
              </c:numCache>
            </c:numRef>
          </c:val>
        </c:ser>
        <c:axId val="70236800"/>
        <c:axId val="70254976"/>
      </c:barChart>
      <c:catAx>
        <c:axId val="70236800"/>
        <c:scaling>
          <c:orientation val="minMax"/>
        </c:scaling>
        <c:axPos val="b"/>
        <c:tickLblPos val="nextTo"/>
        <c:crossAx val="70254976"/>
        <c:crosses val="autoZero"/>
        <c:auto val="1"/>
        <c:lblAlgn val="ctr"/>
        <c:lblOffset val="100"/>
      </c:catAx>
      <c:valAx>
        <c:axId val="70254976"/>
        <c:scaling>
          <c:orientation val="minMax"/>
        </c:scaling>
        <c:axPos val="l"/>
        <c:majorGridlines/>
        <c:numFmt formatCode="General" sourceLinked="1"/>
        <c:tickLblPos val="nextTo"/>
        <c:crossAx val="7023680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[Pharmacy Inventory Analysis.xlsx]Sheet4!PivotTable1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Category</a:t>
            </a:r>
            <a:r>
              <a:rPr lang="en-US" baseline="0"/>
              <a:t>-wise Medicine Stock</a:t>
            </a:r>
            <a:endParaRPr lang="en-US"/>
          </a:p>
        </c:rich>
      </c:tx>
      <c:layout>
        <c:manualLayout>
          <c:xMode val="edge"/>
          <c:yMode val="edge"/>
          <c:x val="0.30249349404572834"/>
          <c:y val="0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0034951881014876"/>
          <c:y val="6.9919072615923034E-2"/>
          <c:w val="0.52094356955380583"/>
          <c:h val="0.64960848643919711"/>
        </c:manualLayout>
      </c:layout>
      <c:barChart>
        <c:barDir val="col"/>
        <c:grouping val="clustered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Sheet4!$A$4:$A$12</c:f>
              <c:strCache>
                <c:ptCount val="8"/>
                <c:pt idx="0">
                  <c:v>Allergy</c:v>
                </c:pt>
                <c:pt idx="1">
                  <c:v>Antibiotic</c:v>
                </c:pt>
                <c:pt idx="2">
                  <c:v>Blood Pressure</c:v>
                </c:pt>
                <c:pt idx="3">
                  <c:v>Cholesterol</c:v>
                </c:pt>
                <c:pt idx="4">
                  <c:v>Diabetes</c:v>
                </c:pt>
                <c:pt idx="5">
                  <c:v>GI</c:v>
                </c:pt>
                <c:pt idx="6">
                  <c:v>Painkiller</c:v>
                </c:pt>
                <c:pt idx="7">
                  <c:v>Supplement</c:v>
                </c:pt>
              </c:strCache>
            </c:strRef>
          </c:cat>
          <c:val>
            <c:numRef>
              <c:f>Sheet4!$B$4:$B$12</c:f>
              <c:numCache>
                <c:formatCode>General</c:formatCode>
                <c:ptCount val="8"/>
                <c:pt idx="0">
                  <c:v>210</c:v>
                </c:pt>
                <c:pt idx="1">
                  <c:v>142</c:v>
                </c:pt>
                <c:pt idx="2">
                  <c:v>180</c:v>
                </c:pt>
                <c:pt idx="3">
                  <c:v>150</c:v>
                </c:pt>
                <c:pt idx="4">
                  <c:v>180</c:v>
                </c:pt>
                <c:pt idx="5">
                  <c:v>218</c:v>
                </c:pt>
                <c:pt idx="6">
                  <c:v>220</c:v>
                </c:pt>
                <c:pt idx="7">
                  <c:v>130</c:v>
                </c:pt>
              </c:numCache>
            </c:numRef>
          </c:val>
        </c:ser>
        <c:axId val="70599040"/>
        <c:axId val="70600576"/>
      </c:barChart>
      <c:catAx>
        <c:axId val="70599040"/>
        <c:scaling>
          <c:orientation val="minMax"/>
        </c:scaling>
        <c:axPos val="b"/>
        <c:tickLblPos val="nextTo"/>
        <c:crossAx val="70600576"/>
        <c:crosses val="autoZero"/>
        <c:auto val="1"/>
        <c:lblAlgn val="ctr"/>
        <c:lblOffset val="100"/>
      </c:catAx>
      <c:valAx>
        <c:axId val="70600576"/>
        <c:scaling>
          <c:orientation val="minMax"/>
        </c:scaling>
        <c:axPos val="l"/>
        <c:majorGridlines/>
        <c:numFmt formatCode="General" sourceLinked="1"/>
        <c:tickLblPos val="nextTo"/>
        <c:crossAx val="7059904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[Pharmacy Inventory Analysis.xlsx]Sheet5!PivotTable2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Supplier</a:t>
            </a:r>
            <a:r>
              <a:rPr lang="en-US" baseline="0"/>
              <a:t>-wise Inventory Value</a:t>
            </a:r>
          </a:p>
        </c:rich>
      </c:tx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Sheet5!$A$4:$A$7</c:f>
              <c:strCache>
                <c:ptCount val="3"/>
                <c:pt idx="0">
                  <c:v>ABC Pharma</c:v>
                </c:pt>
                <c:pt idx="1">
                  <c:v>HealthPlus</c:v>
                </c:pt>
                <c:pt idx="2">
                  <c:v>MedCare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21055</c:v>
                </c:pt>
                <c:pt idx="1">
                  <c:v>26900</c:v>
                </c:pt>
                <c:pt idx="2">
                  <c:v>45575</c:v>
                </c:pt>
              </c:numCache>
            </c:numRef>
          </c:val>
        </c:ser>
        <c:axId val="70612480"/>
        <c:axId val="70614016"/>
      </c:barChart>
      <c:catAx>
        <c:axId val="70612480"/>
        <c:scaling>
          <c:orientation val="minMax"/>
        </c:scaling>
        <c:axPos val="b"/>
        <c:tickLblPos val="nextTo"/>
        <c:crossAx val="70614016"/>
        <c:crosses val="autoZero"/>
        <c:auto val="1"/>
        <c:lblAlgn val="ctr"/>
        <c:lblOffset val="100"/>
      </c:catAx>
      <c:valAx>
        <c:axId val="70614016"/>
        <c:scaling>
          <c:orientation val="minMax"/>
        </c:scaling>
        <c:axPos val="l"/>
        <c:majorGridlines/>
        <c:numFmt formatCode="General" sourceLinked="1"/>
        <c:tickLblPos val="nextTo"/>
        <c:crossAx val="7061248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[Pharmacy Inventory Analysis.xlsx]Sheet6!PivotTable3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Medicine</a:t>
            </a:r>
            <a:r>
              <a:rPr lang="en-US" baseline="0"/>
              <a:t> Expiry Status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Sheet6!$A$4:$A$6</c:f>
              <c:strCache>
                <c:ptCount val="2"/>
                <c:pt idx="0">
                  <c:v>Low stock</c:v>
                </c:pt>
                <c:pt idx="1">
                  <c:v>Normal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7</c:v>
                </c:pt>
                <c:pt idx="1">
                  <c:v>13</c:v>
                </c:pt>
              </c:numCache>
            </c:numRef>
          </c:val>
        </c:ser>
        <c:axId val="70630016"/>
        <c:axId val="71012352"/>
      </c:barChart>
      <c:catAx>
        <c:axId val="70630016"/>
        <c:scaling>
          <c:orientation val="minMax"/>
        </c:scaling>
        <c:axPos val="b"/>
        <c:tickLblPos val="nextTo"/>
        <c:crossAx val="71012352"/>
        <c:crosses val="autoZero"/>
        <c:auto val="1"/>
        <c:lblAlgn val="ctr"/>
        <c:lblOffset val="100"/>
      </c:catAx>
      <c:valAx>
        <c:axId val="71012352"/>
        <c:scaling>
          <c:orientation val="minMax"/>
        </c:scaling>
        <c:axPos val="l"/>
        <c:majorGridlines/>
        <c:numFmt formatCode="General" sourceLinked="1"/>
        <c:tickLblPos val="nextTo"/>
        <c:crossAx val="7063001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228599</xdr:colOff>
      <xdr:row>4</xdr:row>
      <xdr:rowOff>104775</xdr:rowOff>
    </xdr:from>
    <xdr:to>
      <xdr:col>6</xdr:col>
      <xdr:colOff>571499</xdr:colOff>
      <xdr:row>18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</xdr:row>
      <xdr:rowOff>123825</xdr:rowOff>
    </xdr:from>
    <xdr:to>
      <xdr:col>6</xdr:col>
      <xdr:colOff>28575</xdr:colOff>
      <xdr:row>16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</xdr:row>
      <xdr:rowOff>123825</xdr:rowOff>
    </xdr:from>
    <xdr:to>
      <xdr:col>6</xdr:col>
      <xdr:colOff>352425</xdr:colOff>
      <xdr:row>16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9525</xdr:rowOff>
    </xdr:from>
    <xdr:to>
      <xdr:col>5</xdr:col>
      <xdr:colOff>600075</xdr:colOff>
      <xdr:row>19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1285876</xdr:colOff>
      <xdr:row>6</xdr:row>
      <xdr:rowOff>9525</xdr:rowOff>
    </xdr:from>
    <xdr:to>
      <xdr:col>13</xdr:col>
      <xdr:colOff>1</xdr:colOff>
      <xdr:row>19</xdr:row>
      <xdr:rowOff>171451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5</xdr:col>
      <xdr:colOff>590550</xdr:colOff>
      <xdr:row>34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303.357017592592" createdVersion="3" refreshedVersion="3" minRefreshableVersion="3" recordCount="20">
  <cacheSource type="worksheet">
    <worksheetSource ref="A1:S21" sheet="Sheet1"/>
  </cacheSource>
  <cacheFields count="19">
    <cacheField name="Medicine" numFmtId="0">
      <sharedItems/>
    </cacheField>
    <cacheField name="Category" numFmtId="0">
      <sharedItems count="9">
        <s v="Painkiller"/>
        <s v="Antibiotic"/>
        <s v="Allergy"/>
        <s v="GI"/>
        <s v="Diabetes"/>
        <s v="Blood Pressure"/>
        <s v="Cholesterol"/>
        <s v="Supplement"/>
        <s v="Allery" u="1"/>
      </sharedItems>
    </cacheField>
    <cacheField name="stock" numFmtId="0">
      <sharedItems containsSemiMixedTypes="0" containsString="0" containsNumber="1" containsInteger="1" minValue="25" maxValue="150"/>
    </cacheField>
    <cacheField name="Price" numFmtId="0">
      <sharedItems containsSemiMixedTypes="0" containsString="0" containsNumber="1" containsInteger="1" minValue="25" maxValue="120"/>
    </cacheField>
    <cacheField name="Expiry" numFmtId="0">
      <sharedItems containsDate="1" containsMixedTypes="1" minDate="2026-05-11T00:00:00" maxDate="2027-12-02T00:00:00"/>
    </cacheField>
    <cacheField name="Supplier" numFmtId="0">
      <sharedItems count="3">
        <s v="ABC Pharma"/>
        <s v="MedCare"/>
        <s v="HealthPlus"/>
      </sharedItems>
    </cacheField>
    <cacheField name="Inventory  Value" numFmtId="0">
      <sharedItems containsSemiMixedTypes="0" containsString="0" containsNumber="1" containsInteger="1" minValue="1050" maxValue="15600"/>
    </cacheField>
    <cacheField name="Low Stock" numFmtId="0">
      <sharedItems count="2">
        <s v="Normal"/>
        <s v="Low stock"/>
      </sharedItems>
    </cacheField>
    <cacheField name="Total stock" numFmtId="0">
      <sharedItems containsString="0" containsBlank="1" containsNumber="1" containsInteger="1" minValue="1430" maxValue="1430"/>
    </cacheField>
    <cacheField name="Total Medicine" numFmtId="0">
      <sharedItems containsString="0" containsBlank="1" containsNumber="1" containsInteger="1" minValue="20" maxValue="20"/>
    </cacheField>
    <cacheField name="Category-wise stock" numFmtId="0">
      <sharedItems containsString="0" containsBlank="1" containsNumber="1" containsInteger="1" minValue="142" maxValue="142"/>
    </cacheField>
    <cacheField name="Supplier-Wise Inventory Value" numFmtId="0">
      <sharedItems containsString="0" containsBlank="1" containsNumber="1" containsInteger="1" minValue="21055" maxValue="21055"/>
    </cacheField>
    <cacheField name="Average Price" numFmtId="0">
      <sharedItems containsString="0" containsBlank="1" containsNumber="1" minValue="67.5" maxValue="67.5"/>
    </cacheField>
    <cacheField name="Highest Price" numFmtId="0">
      <sharedItems containsString="0" containsBlank="1" containsNumber="1" containsInteger="1" minValue="120" maxValue="120"/>
    </cacheField>
    <cacheField name="Lowest price" numFmtId="0">
      <sharedItems containsString="0" containsBlank="1" containsNumber="1" containsInteger="1" minValue="25" maxValue="25"/>
    </cacheField>
    <cacheField name="Expiry Status" numFmtId="0">
      <sharedItems count="3">
        <s v="Safe"/>
        <s v="Expired"/>
        <s v="Near Expiry"/>
      </sharedItems>
    </cacheField>
    <cacheField name="Supplier2" numFmtId="0">
      <sharedItems containsBlank="1"/>
    </cacheField>
    <cacheField name="Location" numFmtId="0">
      <sharedItems containsBlank="1"/>
    </cacheField>
    <cacheField name="Supplier Location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Paracetamol"/>
    <x v="0"/>
    <n v="120"/>
    <n v="25"/>
    <s v="15-06-2027"/>
    <x v="0"/>
    <n v="3000"/>
    <x v="0"/>
    <n v="1430"/>
    <n v="20"/>
    <n v="142"/>
    <n v="21055"/>
    <n v="67.5"/>
    <n v="120"/>
    <n v="25"/>
    <x v="0"/>
    <s v="ABC Pharma"/>
    <s v="Raipur"/>
    <s v="Raipur"/>
  </r>
  <r>
    <s v="Amoxicilin"/>
    <x v="1"/>
    <n v="45"/>
    <n v="85"/>
    <s v="20-12-2026"/>
    <x v="1"/>
    <n v="3825"/>
    <x v="1"/>
    <m/>
    <m/>
    <m/>
    <m/>
    <m/>
    <m/>
    <m/>
    <x v="0"/>
    <s v="MedCare"/>
    <s v="Bhilai"/>
    <s v="Bhilai"/>
  </r>
  <r>
    <s v="Cetirizine"/>
    <x v="2"/>
    <n v="80"/>
    <n v="40"/>
    <d v="2027-10-02T00:00:00"/>
    <x v="2"/>
    <n v="3200"/>
    <x v="0"/>
    <m/>
    <m/>
    <m/>
    <m/>
    <m/>
    <m/>
    <m/>
    <x v="0"/>
    <s v="HealthPlus"/>
    <s v="Durg"/>
    <s v="Durg"/>
  </r>
  <r>
    <s v="Azithromycin"/>
    <x v="1"/>
    <n v="30"/>
    <n v="110"/>
    <d v="2026-05-11T00:00:00"/>
    <x v="0"/>
    <n v="3300"/>
    <x v="1"/>
    <m/>
    <m/>
    <m/>
    <m/>
    <m/>
    <m/>
    <m/>
    <x v="1"/>
    <s v="LifeCare"/>
    <s v="Bilaspur"/>
    <s v="Raipur"/>
  </r>
  <r>
    <s v="Pantoprazole"/>
    <x v="3"/>
    <n v="150"/>
    <n v="65"/>
    <s v="25-08-2027"/>
    <x v="1"/>
    <n v="9750"/>
    <x v="0"/>
    <m/>
    <m/>
    <m/>
    <m/>
    <m/>
    <m/>
    <m/>
    <x v="0"/>
    <s v="MedCare"/>
    <s v="Nagpur"/>
    <s v="Bhilai"/>
  </r>
  <r>
    <s v="Ibuprofen"/>
    <x v="0"/>
    <n v="65"/>
    <n v="35"/>
    <s v="18-04-2027"/>
    <x v="2"/>
    <n v="2275"/>
    <x v="0"/>
    <m/>
    <m/>
    <m/>
    <m/>
    <m/>
    <m/>
    <m/>
    <x v="0"/>
    <m/>
    <m/>
    <s v="Durg"/>
  </r>
  <r>
    <s v="Metformin"/>
    <x v="4"/>
    <n v="95"/>
    <n v="55"/>
    <d v="2027-12-01T00:00:00"/>
    <x v="0"/>
    <n v="5225"/>
    <x v="0"/>
    <m/>
    <m/>
    <m/>
    <m/>
    <m/>
    <m/>
    <m/>
    <x v="0"/>
    <m/>
    <m/>
    <s v="Raipur"/>
  </r>
  <r>
    <s v="Omeprazole"/>
    <x v="3"/>
    <n v="40"/>
    <n v="50"/>
    <s v="30-11-2026"/>
    <x v="1"/>
    <n v="2000"/>
    <x v="1"/>
    <m/>
    <m/>
    <m/>
    <m/>
    <m/>
    <m/>
    <m/>
    <x v="0"/>
    <m/>
    <m/>
    <s v="Bhilai"/>
  </r>
  <r>
    <s v="Levocetirizine"/>
    <x v="2"/>
    <n v="75"/>
    <n v="60"/>
    <s v="22-07-2027"/>
    <x v="2"/>
    <n v="4500"/>
    <x v="0"/>
    <m/>
    <m/>
    <m/>
    <m/>
    <m/>
    <m/>
    <m/>
    <x v="0"/>
    <m/>
    <m/>
    <s v="Durg"/>
  </r>
  <r>
    <s v="Ciprofloxacin"/>
    <x v="1"/>
    <n v="25"/>
    <n v="90"/>
    <s v="15-10-2026"/>
    <x v="0"/>
    <n v="2250"/>
    <x v="1"/>
    <m/>
    <m/>
    <m/>
    <m/>
    <m/>
    <m/>
    <m/>
    <x v="0"/>
    <m/>
    <m/>
    <s v="Raipur"/>
  </r>
  <r>
    <s v="Amlodipine"/>
    <x v="5"/>
    <n v="110"/>
    <n v="45"/>
    <s v="28-03-2027"/>
    <x v="1"/>
    <n v="4950"/>
    <x v="0"/>
    <m/>
    <m/>
    <m/>
    <m/>
    <m/>
    <m/>
    <m/>
    <x v="0"/>
    <m/>
    <m/>
    <s v="Bhilai"/>
  </r>
  <r>
    <s v="Atorvastatin"/>
    <x v="6"/>
    <n v="60"/>
    <n v="75"/>
    <s v="19-09-2027"/>
    <x v="2"/>
    <n v="4500"/>
    <x v="0"/>
    <m/>
    <m/>
    <m/>
    <m/>
    <m/>
    <m/>
    <m/>
    <x v="0"/>
    <m/>
    <m/>
    <s v="Durg"/>
  </r>
  <r>
    <s v="Diclofenac"/>
    <x v="0"/>
    <n v="35"/>
    <n v="30"/>
    <d v="2026-08-12T00:00:00"/>
    <x v="0"/>
    <n v="1050"/>
    <x v="1"/>
    <m/>
    <m/>
    <m/>
    <m/>
    <m/>
    <m/>
    <m/>
    <x v="1"/>
    <m/>
    <m/>
    <s v="Raipur"/>
  </r>
  <r>
    <s v="Glimepiride"/>
    <x v="4"/>
    <n v="85"/>
    <n v="70"/>
    <s v="14-05-2027"/>
    <x v="1"/>
    <n v="5950"/>
    <x v="0"/>
    <m/>
    <m/>
    <m/>
    <m/>
    <m/>
    <m/>
    <m/>
    <x v="0"/>
    <m/>
    <m/>
    <s v="Bhilai"/>
  </r>
  <r>
    <s v="Montelukast"/>
    <x v="2"/>
    <n v="55"/>
    <n v="95"/>
    <s v="20-01-2027"/>
    <x v="2"/>
    <n v="5225"/>
    <x v="0"/>
    <m/>
    <m/>
    <m/>
    <m/>
    <m/>
    <m/>
    <m/>
    <x v="0"/>
    <m/>
    <m/>
    <s v="Durg"/>
  </r>
  <r>
    <s v="Doxycycline"/>
    <x v="1"/>
    <n v="42"/>
    <n v="105"/>
    <d v="2027-05-06T00:00:00"/>
    <x v="0"/>
    <n v="4410"/>
    <x v="1"/>
    <m/>
    <m/>
    <m/>
    <m/>
    <m/>
    <m/>
    <m/>
    <x v="0"/>
    <m/>
    <m/>
    <s v="Raipur"/>
  </r>
  <r>
    <s v="Losartan"/>
    <x v="5"/>
    <n v="70"/>
    <n v="50"/>
    <s v="16-02-2027"/>
    <x v="1"/>
    <n v="3500"/>
    <x v="0"/>
    <m/>
    <m/>
    <m/>
    <m/>
    <m/>
    <m/>
    <m/>
    <x v="0"/>
    <m/>
    <m/>
    <s v="Bhilai"/>
  </r>
  <r>
    <s v="Rosuvastatin"/>
    <x v="6"/>
    <n v="90"/>
    <n v="80"/>
    <s v="25-10-2027"/>
    <x v="2"/>
    <n v="7200"/>
    <x v="0"/>
    <m/>
    <m/>
    <m/>
    <m/>
    <m/>
    <m/>
    <m/>
    <x v="0"/>
    <m/>
    <m/>
    <s v="Durg"/>
  </r>
  <r>
    <s v="Ondansetron"/>
    <x v="3"/>
    <n v="28"/>
    <n v="65"/>
    <d v="2026-10-11T00:00:00"/>
    <x v="0"/>
    <n v="1820"/>
    <x v="1"/>
    <m/>
    <m/>
    <m/>
    <m/>
    <m/>
    <m/>
    <m/>
    <x v="2"/>
    <m/>
    <m/>
    <s v="Raipur"/>
  </r>
  <r>
    <s v="Calcium + D3"/>
    <x v="7"/>
    <n v="130"/>
    <n v="120"/>
    <s v="30-08-2027"/>
    <x v="1"/>
    <n v="15600"/>
    <x v="0"/>
    <m/>
    <m/>
    <m/>
    <m/>
    <m/>
    <m/>
    <m/>
    <x v="0"/>
    <m/>
    <m/>
    <s v="Bhila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12" firstHeaderRow="1" firstDataRow="1" firstDataCol="1"/>
  <pivotFields count="19">
    <pivotField showAll="0"/>
    <pivotField axis="axisRow" showAll="0">
      <items count="10">
        <item x="2"/>
        <item m="1" x="8"/>
        <item x="1"/>
        <item x="5"/>
        <item x="6"/>
        <item x="4"/>
        <item x="3"/>
        <item x="0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tock" fld="2" baseField="0" baseItem="0"/>
  </dataFields>
  <formats count="2">
    <format dxfId="4">
      <pivotArea type="origin" dataOnly="0" labelOnly="1" outline="0" fieldPosition="0"/>
    </format>
    <format dxfId="3">
      <pivotArea type="all" dataOnly="0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7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Inventory  Value" fld="6" baseField="0" baseItem="0"/>
  </dataFields>
  <formats count="1">
    <format dxfId="2">
      <pivotArea type="all" dataOnly="0" outline="0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6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Medicine" fld="0" subtotal="count" baseField="0" baseItem="0"/>
  </dataFields>
  <formats count="1">
    <format dxfId="1">
      <pivotArea type="all" dataOnly="0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7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edicine" fld="0" subtotal="count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>
      <selection activeCell="C3" sqref="C3"/>
    </sheetView>
  </sheetViews>
  <sheetFormatPr defaultRowHeight="15"/>
  <cols>
    <col min="1" max="1" width="12.28515625" customWidth="1"/>
    <col min="5" max="5" width="10.5703125" customWidth="1"/>
    <col min="6" max="6" width="11.28515625" customWidth="1"/>
    <col min="7" max="7" width="15.140625" customWidth="1"/>
    <col min="9" max="9" width="10.140625" customWidth="1"/>
    <col min="10" max="10" width="13.85546875" customWidth="1"/>
    <col min="11" max="11" width="18.7109375" customWidth="1"/>
    <col min="12" max="12" width="29.5703125" customWidth="1"/>
    <col min="13" max="14" width="13.42578125" customWidth="1"/>
    <col min="15" max="15" width="12.42578125" customWidth="1"/>
    <col min="16" max="16" width="12.28515625" customWidth="1"/>
    <col min="17" max="17" width="11.140625" customWidth="1"/>
    <col min="19" max="19" width="16.28515625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13" t="s">
        <v>27</v>
      </c>
      <c r="O1" s="2" t="s">
        <v>28</v>
      </c>
      <c r="P1" s="6" t="s">
        <v>60</v>
      </c>
      <c r="Q1" s="6" t="s">
        <v>5</v>
      </c>
      <c r="R1" s="6" t="s">
        <v>61</v>
      </c>
      <c r="S1" s="6" t="s">
        <v>68</v>
      </c>
    </row>
    <row r="2" spans="1:19">
      <c r="A2" s="7" t="s">
        <v>6</v>
      </c>
      <c r="B2" s="7" t="s">
        <v>11</v>
      </c>
      <c r="C2" s="7">
        <v>120</v>
      </c>
      <c r="D2" s="7">
        <v>25</v>
      </c>
      <c r="E2" s="7" t="s">
        <v>14</v>
      </c>
      <c r="F2" s="7" t="s">
        <v>17</v>
      </c>
      <c r="G2" s="11">
        <f>C2*D2</f>
        <v>3000</v>
      </c>
      <c r="H2" s="11" t="str">
        <f>IF(C2&lt;50,"Low stock","Normal")</f>
        <v>Normal</v>
      </c>
      <c r="I2" s="11">
        <f>SUM(C2:C21)</f>
        <v>1430</v>
      </c>
      <c r="J2" s="11">
        <f>COUNT(C2:C21)</f>
        <v>20</v>
      </c>
      <c r="K2" s="11">
        <f>SUMIF(B2:B21,"Antibiotic",C2:C21)</f>
        <v>142</v>
      </c>
      <c r="L2" s="11">
        <f>SUMIF(F2:F21,"ABC Pharma",G2:G21)</f>
        <v>21055</v>
      </c>
      <c r="M2" s="11">
        <f>AVERAGE(D2:D21)</f>
        <v>67.5</v>
      </c>
      <c r="N2" s="14">
        <f>MAX(D2:D21)</f>
        <v>120</v>
      </c>
      <c r="O2" s="9">
        <f>MIN(D2:D21)</f>
        <v>25</v>
      </c>
      <c r="P2" t="str">
        <f ca="1">IF(E2&lt;TODAY(),"Expired",IF(E2&lt;=TODAY()+90,"Near Expiry","Safe"))</f>
        <v>Safe</v>
      </c>
      <c r="Q2" t="s">
        <v>17</v>
      </c>
      <c r="R2" t="s">
        <v>63</v>
      </c>
      <c r="S2" t="str">
        <f>VLOOKUP(F2,$Q$2:$R$6,2,FALSE)</f>
        <v>Raipur</v>
      </c>
    </row>
    <row r="3" spans="1:19">
      <c r="A3" s="7" t="s">
        <v>7</v>
      </c>
      <c r="B3" s="7" t="s">
        <v>12</v>
      </c>
      <c r="C3" s="7">
        <v>45</v>
      </c>
      <c r="D3" s="7">
        <v>85</v>
      </c>
      <c r="E3" s="7" t="s">
        <v>15</v>
      </c>
      <c r="F3" s="7" t="s">
        <v>18</v>
      </c>
      <c r="G3" s="11">
        <f t="shared" ref="G3:G21" si="0">C3*D3</f>
        <v>3825</v>
      </c>
      <c r="H3" s="11" t="str">
        <f>IF(C3&lt;50,"Low stock","Normal")</f>
        <v>Low stock</v>
      </c>
      <c r="I3" s="11"/>
      <c r="J3" s="11"/>
      <c r="K3" s="11"/>
      <c r="L3" s="11"/>
      <c r="M3" s="11"/>
      <c r="N3" s="14"/>
      <c r="O3" s="17"/>
      <c r="P3" t="str">
        <f t="shared" ref="P3:P21" ca="1" si="1">IF(E3&lt;TODAY(),"Expired",IF(E3&lt;=TODAY()+90,"Near Expiry","Safe"))</f>
        <v>Safe</v>
      </c>
      <c r="Q3" t="s">
        <v>18</v>
      </c>
      <c r="R3" t="s">
        <v>64</v>
      </c>
      <c r="S3" t="str">
        <f t="shared" ref="S3:S21" si="2">VLOOKUP(F3,$Q$2:$R$6,2,FALSE)</f>
        <v>Bhilai</v>
      </c>
    </row>
    <row r="4" spans="1:19">
      <c r="A4" s="7" t="s">
        <v>8</v>
      </c>
      <c r="B4" s="4" t="s">
        <v>36</v>
      </c>
      <c r="C4" s="7">
        <v>80</v>
      </c>
      <c r="D4" s="7">
        <v>40</v>
      </c>
      <c r="E4" s="8">
        <v>46662</v>
      </c>
      <c r="F4" s="7" t="s">
        <v>19</v>
      </c>
      <c r="G4" s="11">
        <f t="shared" si="0"/>
        <v>3200</v>
      </c>
      <c r="H4" s="11" t="str">
        <f t="shared" ref="H4:H21" si="3">IF(C4&lt;50,"Low stock","Normal")</f>
        <v>Normal</v>
      </c>
      <c r="I4" s="11"/>
      <c r="J4" s="11"/>
      <c r="K4" s="11"/>
      <c r="L4" s="11"/>
      <c r="M4" s="11"/>
      <c r="N4" s="14"/>
      <c r="O4" s="17"/>
      <c r="P4" t="str">
        <f t="shared" ca="1" si="1"/>
        <v>Safe</v>
      </c>
      <c r="Q4" t="s">
        <v>19</v>
      </c>
      <c r="R4" t="s">
        <v>65</v>
      </c>
      <c r="S4" t="str">
        <f t="shared" si="2"/>
        <v>Durg</v>
      </c>
    </row>
    <row r="5" spans="1:19">
      <c r="A5" s="7" t="s">
        <v>9</v>
      </c>
      <c r="B5" s="7" t="s">
        <v>12</v>
      </c>
      <c r="C5" s="7">
        <v>30</v>
      </c>
      <c r="D5" s="7">
        <v>110</v>
      </c>
      <c r="E5" s="8">
        <v>46153</v>
      </c>
      <c r="F5" s="7" t="s">
        <v>17</v>
      </c>
      <c r="G5" s="11">
        <f t="shared" si="0"/>
        <v>3300</v>
      </c>
      <c r="H5" s="11" t="str">
        <f t="shared" si="3"/>
        <v>Low stock</v>
      </c>
      <c r="I5" s="11"/>
      <c r="J5" s="11"/>
      <c r="K5" s="11"/>
      <c r="L5" s="11"/>
      <c r="M5" s="11"/>
      <c r="N5" s="14"/>
      <c r="O5" s="17"/>
      <c r="P5" t="str">
        <f t="shared" ca="1" si="1"/>
        <v>Expired</v>
      </c>
      <c r="Q5" t="s">
        <v>62</v>
      </c>
      <c r="R5" t="s">
        <v>66</v>
      </c>
      <c r="S5" t="str">
        <f t="shared" si="2"/>
        <v>Raipur</v>
      </c>
    </row>
    <row r="6" spans="1:19">
      <c r="A6" s="7" t="s">
        <v>10</v>
      </c>
      <c r="B6" s="7" t="s">
        <v>13</v>
      </c>
      <c r="C6" s="7">
        <v>150</v>
      </c>
      <c r="D6" s="7">
        <v>65</v>
      </c>
      <c r="E6" s="7" t="s">
        <v>16</v>
      </c>
      <c r="F6" s="7" t="s">
        <v>18</v>
      </c>
      <c r="G6" s="11">
        <f t="shared" si="0"/>
        <v>9750</v>
      </c>
      <c r="H6" s="11" t="str">
        <f t="shared" si="3"/>
        <v>Normal</v>
      </c>
      <c r="I6" s="11"/>
      <c r="J6" s="11"/>
      <c r="K6" s="11"/>
      <c r="L6" s="11"/>
      <c r="M6" s="11"/>
      <c r="N6" s="9"/>
      <c r="O6" s="17"/>
      <c r="P6" t="str">
        <f t="shared" ca="1" si="1"/>
        <v>Safe</v>
      </c>
      <c r="Q6" t="s">
        <v>18</v>
      </c>
      <c r="R6" t="s">
        <v>67</v>
      </c>
      <c r="S6" t="str">
        <f t="shared" si="2"/>
        <v>Bhilai</v>
      </c>
    </row>
    <row r="7" spans="1:19" ht="30">
      <c r="A7" s="15" t="s">
        <v>29</v>
      </c>
      <c r="B7" s="15" t="s">
        <v>11</v>
      </c>
      <c r="C7" s="15">
        <v>65</v>
      </c>
      <c r="D7" s="15">
        <v>35</v>
      </c>
      <c r="E7" s="15" t="s">
        <v>30</v>
      </c>
      <c r="F7" s="15" t="s">
        <v>19</v>
      </c>
      <c r="G7" s="11">
        <f t="shared" si="0"/>
        <v>2275</v>
      </c>
      <c r="H7" s="11" t="str">
        <f t="shared" si="3"/>
        <v>Normal</v>
      </c>
      <c r="I7" s="11"/>
      <c r="J7" s="11"/>
      <c r="K7" s="11"/>
      <c r="L7" s="11"/>
      <c r="M7" s="11"/>
      <c r="N7" s="17"/>
      <c r="O7" s="17"/>
      <c r="P7" t="str">
        <f t="shared" ca="1" si="1"/>
        <v>Safe</v>
      </c>
      <c r="S7" t="str">
        <f t="shared" si="2"/>
        <v>Durg</v>
      </c>
    </row>
    <row r="8" spans="1:19" ht="30">
      <c r="A8" s="15" t="s">
        <v>31</v>
      </c>
      <c r="B8" s="15" t="s">
        <v>32</v>
      </c>
      <c r="C8" s="15">
        <v>95</v>
      </c>
      <c r="D8" s="15">
        <v>55</v>
      </c>
      <c r="E8" s="16">
        <v>46722</v>
      </c>
      <c r="F8" s="15" t="s">
        <v>17</v>
      </c>
      <c r="G8" s="11">
        <f t="shared" si="0"/>
        <v>5225</v>
      </c>
      <c r="H8" s="11" t="str">
        <f t="shared" si="3"/>
        <v>Normal</v>
      </c>
      <c r="I8" s="11"/>
      <c r="J8" s="11"/>
      <c r="K8" s="11"/>
      <c r="L8" s="11"/>
      <c r="M8" s="11"/>
      <c r="N8" s="17"/>
      <c r="O8" s="17"/>
      <c r="P8" t="str">
        <f t="shared" ca="1" si="1"/>
        <v>Safe</v>
      </c>
      <c r="S8" t="str">
        <f t="shared" si="2"/>
        <v>Raipur</v>
      </c>
    </row>
    <row r="9" spans="1:19">
      <c r="A9" s="15" t="s">
        <v>33</v>
      </c>
      <c r="B9" s="15" t="s">
        <v>13</v>
      </c>
      <c r="C9" s="15">
        <v>40</v>
      </c>
      <c r="D9" s="15">
        <v>50</v>
      </c>
      <c r="E9" s="15" t="s">
        <v>34</v>
      </c>
      <c r="F9" s="15" t="s">
        <v>18</v>
      </c>
      <c r="G9" s="11">
        <f t="shared" si="0"/>
        <v>2000</v>
      </c>
      <c r="H9" s="11" t="str">
        <f t="shared" si="3"/>
        <v>Low stock</v>
      </c>
      <c r="I9" s="11"/>
      <c r="J9" s="11"/>
      <c r="K9" s="11"/>
      <c r="L9" s="11"/>
      <c r="M9" s="11"/>
      <c r="N9" s="17"/>
      <c r="O9" s="17"/>
      <c r="P9" t="str">
        <f t="shared" ca="1" si="1"/>
        <v>Safe</v>
      </c>
      <c r="S9" t="str">
        <f t="shared" si="2"/>
        <v>Bhilai</v>
      </c>
    </row>
    <row r="10" spans="1:19" ht="30">
      <c r="A10" s="15" t="s">
        <v>35</v>
      </c>
      <c r="B10" s="15" t="s">
        <v>36</v>
      </c>
      <c r="C10" s="15">
        <v>75</v>
      </c>
      <c r="D10" s="15">
        <v>60</v>
      </c>
      <c r="E10" s="15" t="s">
        <v>37</v>
      </c>
      <c r="F10" s="15" t="s">
        <v>19</v>
      </c>
      <c r="G10" s="11">
        <f t="shared" si="0"/>
        <v>4500</v>
      </c>
      <c r="H10" s="11" t="str">
        <f t="shared" si="3"/>
        <v>Normal</v>
      </c>
      <c r="I10" s="11"/>
      <c r="J10" s="11"/>
      <c r="K10" s="11"/>
      <c r="L10" s="11"/>
      <c r="M10" s="11"/>
      <c r="N10" s="17"/>
      <c r="O10" s="17"/>
      <c r="P10" t="str">
        <f t="shared" ca="1" si="1"/>
        <v>Safe</v>
      </c>
      <c r="S10" t="str">
        <f t="shared" si="2"/>
        <v>Durg</v>
      </c>
    </row>
    <row r="11" spans="1:19" ht="30">
      <c r="A11" s="15" t="s">
        <v>38</v>
      </c>
      <c r="B11" s="15" t="s">
        <v>12</v>
      </c>
      <c r="C11" s="15">
        <v>25</v>
      </c>
      <c r="D11" s="15">
        <v>90</v>
      </c>
      <c r="E11" s="15" t="s">
        <v>39</v>
      </c>
      <c r="F11" s="15" t="s">
        <v>17</v>
      </c>
      <c r="G11" s="11">
        <f t="shared" si="0"/>
        <v>2250</v>
      </c>
      <c r="H11" s="11" t="str">
        <f t="shared" si="3"/>
        <v>Low stock</v>
      </c>
      <c r="I11" s="11"/>
      <c r="J11" s="11"/>
      <c r="K11" s="11"/>
      <c r="L11" s="11"/>
      <c r="M11" s="11"/>
      <c r="N11" s="17"/>
      <c r="O11" s="17"/>
      <c r="P11" t="str">
        <f t="shared" ca="1" si="1"/>
        <v>Safe</v>
      </c>
      <c r="S11" t="str">
        <f t="shared" si="2"/>
        <v>Raipur</v>
      </c>
    </row>
    <row r="12" spans="1:19" ht="30">
      <c r="A12" s="15" t="s">
        <v>40</v>
      </c>
      <c r="B12" s="15" t="s">
        <v>41</v>
      </c>
      <c r="C12" s="15">
        <v>110</v>
      </c>
      <c r="D12" s="15">
        <v>45</v>
      </c>
      <c r="E12" s="15" t="s">
        <v>42</v>
      </c>
      <c r="F12" s="15" t="s">
        <v>18</v>
      </c>
      <c r="G12" s="11">
        <f t="shared" si="0"/>
        <v>4950</v>
      </c>
      <c r="H12" s="11" t="str">
        <f t="shared" si="3"/>
        <v>Normal</v>
      </c>
      <c r="I12" s="11"/>
      <c r="J12" s="11"/>
      <c r="K12" s="11"/>
      <c r="L12" s="11"/>
      <c r="M12" s="11"/>
      <c r="N12" s="17"/>
      <c r="O12" s="17"/>
      <c r="P12" t="str">
        <f t="shared" ca="1" si="1"/>
        <v>Safe</v>
      </c>
      <c r="S12" t="str">
        <f t="shared" si="2"/>
        <v>Bhilai</v>
      </c>
    </row>
    <row r="13" spans="1:19" ht="30">
      <c r="A13" s="15" t="s">
        <v>43</v>
      </c>
      <c r="B13" s="15" t="s">
        <v>44</v>
      </c>
      <c r="C13" s="15">
        <v>60</v>
      </c>
      <c r="D13" s="15">
        <v>75</v>
      </c>
      <c r="E13" s="15" t="s">
        <v>45</v>
      </c>
      <c r="F13" s="15" t="s">
        <v>19</v>
      </c>
      <c r="G13" s="11">
        <f t="shared" si="0"/>
        <v>4500</v>
      </c>
      <c r="H13" s="11" t="str">
        <f t="shared" si="3"/>
        <v>Normal</v>
      </c>
      <c r="I13" s="11"/>
      <c r="J13" s="11"/>
      <c r="K13" s="11"/>
      <c r="L13" s="11"/>
      <c r="M13" s="11"/>
      <c r="N13" s="17"/>
      <c r="O13" s="17"/>
      <c r="P13" t="str">
        <f t="shared" ca="1" si="1"/>
        <v>Safe</v>
      </c>
      <c r="S13" t="str">
        <f t="shared" si="2"/>
        <v>Durg</v>
      </c>
    </row>
    <row r="14" spans="1:19" ht="30">
      <c r="A14" s="15" t="s">
        <v>46</v>
      </c>
      <c r="B14" s="15" t="s">
        <v>11</v>
      </c>
      <c r="C14" s="15">
        <v>35</v>
      </c>
      <c r="D14" s="15">
        <v>30</v>
      </c>
      <c r="E14" s="16">
        <v>46246</v>
      </c>
      <c r="F14" s="15" t="s">
        <v>17</v>
      </c>
      <c r="G14" s="11">
        <f t="shared" si="0"/>
        <v>1050</v>
      </c>
      <c r="H14" s="11" t="str">
        <f t="shared" si="3"/>
        <v>Low stock</v>
      </c>
      <c r="I14" s="11"/>
      <c r="J14" s="11"/>
      <c r="K14" s="11"/>
      <c r="L14" s="11"/>
      <c r="M14" s="11"/>
      <c r="N14" s="17"/>
      <c r="O14" s="17"/>
      <c r="P14" t="str">
        <f t="shared" ca="1" si="1"/>
        <v>Expired</v>
      </c>
      <c r="S14" t="str">
        <f t="shared" si="2"/>
        <v>Raipur</v>
      </c>
    </row>
    <row r="15" spans="1:19">
      <c r="A15" s="15" t="s">
        <v>47</v>
      </c>
      <c r="B15" s="15" t="s">
        <v>32</v>
      </c>
      <c r="C15" s="15">
        <v>85</v>
      </c>
      <c r="D15" s="15">
        <v>70</v>
      </c>
      <c r="E15" s="15" t="s">
        <v>48</v>
      </c>
      <c r="F15" s="15" t="s">
        <v>18</v>
      </c>
      <c r="G15" s="11">
        <f t="shared" si="0"/>
        <v>5950</v>
      </c>
      <c r="H15" s="11" t="str">
        <f t="shared" si="3"/>
        <v>Normal</v>
      </c>
      <c r="I15" s="11"/>
      <c r="J15" s="11"/>
      <c r="K15" s="11"/>
      <c r="L15" s="11"/>
      <c r="M15" s="11"/>
      <c r="N15" s="17"/>
      <c r="O15" s="17"/>
      <c r="P15" t="str">
        <f t="shared" ca="1" si="1"/>
        <v>Safe</v>
      </c>
      <c r="S15" t="str">
        <f t="shared" si="2"/>
        <v>Bhilai</v>
      </c>
    </row>
    <row r="16" spans="1:19">
      <c r="A16" s="15" t="s">
        <v>49</v>
      </c>
      <c r="B16" s="15" t="s">
        <v>36</v>
      </c>
      <c r="C16" s="15">
        <v>55</v>
      </c>
      <c r="D16" s="15">
        <v>95</v>
      </c>
      <c r="E16" s="15" t="s">
        <v>50</v>
      </c>
      <c r="F16" s="15" t="s">
        <v>19</v>
      </c>
      <c r="G16" s="11">
        <f t="shared" si="0"/>
        <v>5225</v>
      </c>
      <c r="H16" s="11" t="str">
        <f t="shared" si="3"/>
        <v>Normal</v>
      </c>
      <c r="I16" s="11"/>
      <c r="J16" s="11"/>
      <c r="K16" s="11"/>
      <c r="L16" s="11"/>
      <c r="M16" s="11"/>
      <c r="N16" s="17"/>
      <c r="O16" s="17"/>
      <c r="P16" t="str">
        <f t="shared" ca="1" si="1"/>
        <v>Safe</v>
      </c>
      <c r="S16" t="str">
        <f t="shared" si="2"/>
        <v>Durg</v>
      </c>
    </row>
    <row r="17" spans="1:19" ht="30">
      <c r="A17" s="15" t="s">
        <v>51</v>
      </c>
      <c r="B17" s="15" t="s">
        <v>12</v>
      </c>
      <c r="C17" s="15">
        <v>42</v>
      </c>
      <c r="D17" s="15">
        <v>105</v>
      </c>
      <c r="E17" s="16">
        <v>46513</v>
      </c>
      <c r="F17" s="15" t="s">
        <v>17</v>
      </c>
      <c r="G17" s="11">
        <f t="shared" si="0"/>
        <v>4410</v>
      </c>
      <c r="H17" s="11" t="str">
        <f t="shared" si="3"/>
        <v>Low stock</v>
      </c>
      <c r="I17" s="11"/>
      <c r="J17" s="11"/>
      <c r="K17" s="11"/>
      <c r="L17" s="11"/>
      <c r="M17" s="11"/>
      <c r="N17" s="17"/>
      <c r="O17" s="17"/>
      <c r="P17" t="str">
        <f t="shared" ca="1" si="1"/>
        <v>Safe</v>
      </c>
      <c r="S17" t="str">
        <f t="shared" si="2"/>
        <v>Raipur</v>
      </c>
    </row>
    <row r="18" spans="1:19" ht="30">
      <c r="A18" s="15" t="s">
        <v>52</v>
      </c>
      <c r="B18" s="15" t="s">
        <v>41</v>
      </c>
      <c r="C18" s="15">
        <v>70</v>
      </c>
      <c r="D18" s="15">
        <v>50</v>
      </c>
      <c r="E18" s="15" t="s">
        <v>53</v>
      </c>
      <c r="F18" s="15" t="s">
        <v>18</v>
      </c>
      <c r="G18" s="11">
        <f t="shared" si="0"/>
        <v>3500</v>
      </c>
      <c r="H18" s="11" t="str">
        <f t="shared" si="3"/>
        <v>Normal</v>
      </c>
      <c r="I18" s="11"/>
      <c r="J18" s="11"/>
      <c r="K18" s="11"/>
      <c r="L18" s="11"/>
      <c r="M18" s="11"/>
      <c r="N18" s="17"/>
      <c r="O18" s="17"/>
      <c r="P18" t="str">
        <f t="shared" ca="1" si="1"/>
        <v>Safe</v>
      </c>
      <c r="S18" t="str">
        <f t="shared" si="2"/>
        <v>Bhilai</v>
      </c>
    </row>
    <row r="19" spans="1:19" ht="30">
      <c r="A19" s="15" t="s">
        <v>54</v>
      </c>
      <c r="B19" s="15" t="s">
        <v>44</v>
      </c>
      <c r="C19" s="15">
        <v>90</v>
      </c>
      <c r="D19" s="15">
        <v>80</v>
      </c>
      <c r="E19" s="15" t="s">
        <v>55</v>
      </c>
      <c r="F19" s="15" t="s">
        <v>19</v>
      </c>
      <c r="G19" s="11">
        <f t="shared" si="0"/>
        <v>7200</v>
      </c>
      <c r="H19" s="11" t="str">
        <f t="shared" si="3"/>
        <v>Normal</v>
      </c>
      <c r="I19" s="11"/>
      <c r="J19" s="11"/>
      <c r="K19" s="11"/>
      <c r="L19" s="11"/>
      <c r="M19" s="11"/>
      <c r="N19" s="17"/>
      <c r="O19" s="17"/>
      <c r="P19" t="str">
        <f t="shared" ca="1" si="1"/>
        <v>Safe</v>
      </c>
      <c r="S19" t="str">
        <f t="shared" si="2"/>
        <v>Durg</v>
      </c>
    </row>
    <row r="20" spans="1:19" ht="30">
      <c r="A20" s="15" t="s">
        <v>56</v>
      </c>
      <c r="B20" s="15" t="s">
        <v>13</v>
      </c>
      <c r="C20" s="15">
        <v>28</v>
      </c>
      <c r="D20" s="15">
        <v>65</v>
      </c>
      <c r="E20" s="16">
        <v>46306</v>
      </c>
      <c r="F20" s="15" t="s">
        <v>17</v>
      </c>
      <c r="G20" s="11">
        <f t="shared" si="0"/>
        <v>1820</v>
      </c>
      <c r="H20" s="11" t="str">
        <f t="shared" si="3"/>
        <v>Low stock</v>
      </c>
      <c r="I20" s="11"/>
      <c r="J20" s="11"/>
      <c r="K20" s="11"/>
      <c r="L20" s="11"/>
      <c r="M20" s="11"/>
      <c r="N20" s="17"/>
      <c r="O20" s="17"/>
      <c r="P20" t="str">
        <f t="shared" ca="1" si="1"/>
        <v>Near Expiry</v>
      </c>
      <c r="S20" t="str">
        <f t="shared" si="2"/>
        <v>Raipur</v>
      </c>
    </row>
    <row r="21" spans="1:19" ht="30">
      <c r="A21" s="15" t="s">
        <v>57</v>
      </c>
      <c r="B21" s="15" t="s">
        <v>58</v>
      </c>
      <c r="C21" s="15">
        <v>130</v>
      </c>
      <c r="D21" s="15">
        <v>120</v>
      </c>
      <c r="E21" s="15" t="s">
        <v>59</v>
      </c>
      <c r="F21" s="15" t="s">
        <v>18</v>
      </c>
      <c r="G21" s="11">
        <f t="shared" si="0"/>
        <v>15600</v>
      </c>
      <c r="H21" s="11" t="str">
        <f t="shared" si="3"/>
        <v>Normal</v>
      </c>
      <c r="I21" s="11"/>
      <c r="J21" s="11"/>
      <c r="K21" s="11"/>
      <c r="L21" s="11"/>
      <c r="M21" s="11"/>
      <c r="N21" s="17"/>
      <c r="O21" s="17"/>
      <c r="P21" t="str">
        <f t="shared" ca="1" si="1"/>
        <v>Safe</v>
      </c>
      <c r="S21" t="str">
        <f t="shared" si="2"/>
        <v>Bhilai</v>
      </c>
    </row>
  </sheetData>
  <conditionalFormatting sqref="H2:H21">
    <cfRule type="containsText" dxfId="8" priority="4" operator="containsText" text="Low stock">
      <formula>NOT(ISERROR(SEARCH("Low stock",H2)))</formula>
    </cfRule>
  </conditionalFormatting>
  <conditionalFormatting sqref="P2:P21">
    <cfRule type="containsText" dxfId="7" priority="2" operator="containsText" text="Near Expiry">
      <formula>NOT(ISERROR(SEARCH("Near Expiry",P2)))</formula>
    </cfRule>
    <cfRule type="containsText" dxfId="6" priority="3" operator="containsText" text="Expired">
      <formula>NOT(ISERROR(SEARCH("Expired",P2)))</formula>
    </cfRule>
  </conditionalFormatting>
  <conditionalFormatting sqref="A2:A21">
    <cfRule type="duplicateValues" dxfId="5" priority="1"/>
  </conditionalFormatting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12"/>
  <sheetViews>
    <sheetView topLeftCell="B3" workbookViewId="0">
      <selection activeCell="H5" sqref="H5"/>
    </sheetView>
  </sheetViews>
  <sheetFormatPr defaultRowHeight="15"/>
  <cols>
    <col min="1" max="1" width="14.42578125" bestFit="1" customWidth="1"/>
    <col min="2" max="2" width="12.140625" bestFit="1" customWidth="1"/>
    <col min="3" max="3" width="22.5703125" bestFit="1" customWidth="1"/>
  </cols>
  <sheetData>
    <row r="3" spans="1:2">
      <c r="A3" s="21" t="s">
        <v>69</v>
      </c>
      <c r="B3" s="22" t="s">
        <v>71</v>
      </c>
    </row>
    <row r="4" spans="1:2">
      <c r="A4" s="23" t="s">
        <v>36</v>
      </c>
      <c r="B4" s="24">
        <v>210</v>
      </c>
    </row>
    <row r="5" spans="1:2">
      <c r="A5" s="23" t="s">
        <v>12</v>
      </c>
      <c r="B5" s="24">
        <v>142</v>
      </c>
    </row>
    <row r="6" spans="1:2">
      <c r="A6" s="23" t="s">
        <v>41</v>
      </c>
      <c r="B6" s="24">
        <v>180</v>
      </c>
    </row>
    <row r="7" spans="1:2">
      <c r="A7" s="23" t="s">
        <v>44</v>
      </c>
      <c r="B7" s="24">
        <v>150</v>
      </c>
    </row>
    <row r="8" spans="1:2">
      <c r="A8" s="23" t="s">
        <v>32</v>
      </c>
      <c r="B8" s="24">
        <v>180</v>
      </c>
    </row>
    <row r="9" spans="1:2">
      <c r="A9" s="23" t="s">
        <v>13</v>
      </c>
      <c r="B9" s="24">
        <v>218</v>
      </c>
    </row>
    <row r="10" spans="1:2">
      <c r="A10" s="23" t="s">
        <v>11</v>
      </c>
      <c r="B10" s="24">
        <v>220</v>
      </c>
    </row>
    <row r="11" spans="1:2">
      <c r="A11" s="23" t="s">
        <v>58</v>
      </c>
      <c r="B11" s="24">
        <v>130</v>
      </c>
    </row>
    <row r="12" spans="1:2">
      <c r="A12" s="25" t="s">
        <v>70</v>
      </c>
      <c r="B12" s="26">
        <v>1430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A3" sqref="A3:B7"/>
    </sheetView>
  </sheetViews>
  <sheetFormatPr defaultRowHeight="15"/>
  <cols>
    <col min="1" max="1" width="13.140625" bestFit="1" customWidth="1"/>
    <col min="2" max="2" width="22.5703125" bestFit="1" customWidth="1"/>
  </cols>
  <sheetData>
    <row r="3" spans="1:2">
      <c r="A3" s="18" t="s">
        <v>69</v>
      </c>
      <c r="B3" s="3" t="s">
        <v>72</v>
      </c>
    </row>
    <row r="4" spans="1:2">
      <c r="A4" s="19" t="s">
        <v>17</v>
      </c>
      <c r="B4" s="20">
        <v>21055</v>
      </c>
    </row>
    <row r="5" spans="1:2">
      <c r="A5" s="19" t="s">
        <v>19</v>
      </c>
      <c r="B5" s="20">
        <v>26900</v>
      </c>
    </row>
    <row r="6" spans="1:2">
      <c r="A6" s="19" t="s">
        <v>18</v>
      </c>
      <c r="B6" s="20">
        <v>45575</v>
      </c>
    </row>
    <row r="7" spans="1:2">
      <c r="A7" s="19" t="s">
        <v>70</v>
      </c>
      <c r="B7" s="20">
        <v>93530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B6"/>
  <sheetViews>
    <sheetView workbookViewId="0">
      <selection activeCell="A3" sqref="A3:B6"/>
    </sheetView>
  </sheetViews>
  <sheetFormatPr defaultRowHeight="15"/>
  <cols>
    <col min="1" max="1" width="13.140625" customWidth="1"/>
    <col min="2" max="2" width="17.7109375" bestFit="1" customWidth="1"/>
  </cols>
  <sheetData>
    <row r="3" spans="1:2">
      <c r="A3" s="18" t="s">
        <v>69</v>
      </c>
      <c r="B3" s="3" t="s">
        <v>75</v>
      </c>
    </row>
    <row r="4" spans="1:2">
      <c r="A4" s="19" t="s">
        <v>73</v>
      </c>
      <c r="B4" s="20">
        <v>7</v>
      </c>
    </row>
    <row r="5" spans="1:2">
      <c r="A5" s="19" t="s">
        <v>74</v>
      </c>
      <c r="B5" s="20">
        <v>13</v>
      </c>
    </row>
    <row r="6" spans="1:2">
      <c r="A6" s="19" t="s">
        <v>70</v>
      </c>
      <c r="B6" s="20">
        <v>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8"/>
  <sheetViews>
    <sheetView topLeftCell="A3" workbookViewId="0">
      <selection activeCell="G38" sqref="G38"/>
    </sheetView>
  </sheetViews>
  <sheetFormatPr defaultRowHeight="15"/>
  <cols>
    <col min="1" max="1" width="26.85546875" customWidth="1"/>
    <col min="5" max="5" width="19.7109375" customWidth="1"/>
    <col min="7" max="7" width="19.42578125" customWidth="1"/>
    <col min="9" max="9" width="21" customWidth="1"/>
  </cols>
  <sheetData>
    <row r="1" spans="1:10">
      <c r="A1" s="34" t="s">
        <v>79</v>
      </c>
      <c r="B1" s="34"/>
      <c r="C1" s="34"/>
      <c r="D1" s="34"/>
      <c r="E1" s="34"/>
      <c r="F1" s="34"/>
      <c r="G1" s="34"/>
      <c r="H1" s="34"/>
      <c r="I1" s="34"/>
      <c r="J1" s="34"/>
    </row>
    <row r="3" spans="1:10">
      <c r="A3" s="27" t="s">
        <v>80</v>
      </c>
      <c r="B3" s="17"/>
      <c r="C3" s="27" t="s">
        <v>81</v>
      </c>
      <c r="D3" s="17"/>
      <c r="E3" s="28" t="s">
        <v>82</v>
      </c>
      <c r="F3" s="17"/>
      <c r="G3" s="28" t="s">
        <v>83</v>
      </c>
      <c r="H3" s="17"/>
      <c r="I3" s="28" t="s">
        <v>84</v>
      </c>
    </row>
    <row r="4" spans="1:10" ht="21">
      <c r="A4" s="29">
        <f>COUNT(Sheet1!C2:C21)</f>
        <v>20</v>
      </c>
      <c r="B4" s="30"/>
      <c r="C4" s="30">
        <f>SUM(Sheet1!C2:C21)</f>
        <v>1430</v>
      </c>
      <c r="D4" s="30"/>
      <c r="E4" s="31">
        <f>SUM(Sheet1!G2:G21)</f>
        <v>93530</v>
      </c>
      <c r="F4" s="30"/>
      <c r="G4" s="29">
        <f>COUNTIF(Sheet1!H2:H21,"Low Stock")</f>
        <v>7</v>
      </c>
      <c r="H4" s="30"/>
      <c r="I4" s="30">
        <f ca="1">COUNTIF(Sheet1!P2:P21,"Near Expiry")</f>
        <v>1</v>
      </c>
    </row>
    <row r="38" spans="1:1">
      <c r="A38" s="1" t="s">
        <v>89</v>
      </c>
    </row>
    <row r="39" spans="1:1">
      <c r="A39" t="s">
        <v>85</v>
      </c>
    </row>
    <row r="40" spans="1:1">
      <c r="A40" t="s">
        <v>86</v>
      </c>
    </row>
    <row r="41" spans="1:1">
      <c r="A41" t="s">
        <v>87</v>
      </c>
    </row>
    <row r="42" spans="1:1">
      <c r="A42" t="s">
        <v>88</v>
      </c>
    </row>
    <row r="44" spans="1:1">
      <c r="A44" s="1" t="s">
        <v>90</v>
      </c>
    </row>
    <row r="45" spans="1:1">
      <c r="A45" t="s">
        <v>91</v>
      </c>
    </row>
    <row r="46" spans="1:1">
      <c r="A46" t="s">
        <v>92</v>
      </c>
    </row>
    <row r="47" spans="1:1">
      <c r="A47" t="s">
        <v>93</v>
      </c>
    </row>
    <row r="48" spans="1:1">
      <c r="A48" t="s">
        <v>94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6"/>
  <sheetViews>
    <sheetView topLeftCell="A10" workbookViewId="0">
      <selection activeCell="B7" sqref="B7"/>
    </sheetView>
  </sheetViews>
  <sheetFormatPr defaultRowHeight="15"/>
  <cols>
    <col min="1" max="1" width="50.85546875" customWidth="1"/>
  </cols>
  <sheetData>
    <row r="1" spans="1:9">
      <c r="A1" s="1" t="s">
        <v>95</v>
      </c>
      <c r="B1" s="1"/>
      <c r="C1" s="1"/>
      <c r="D1" s="1"/>
    </row>
    <row r="2" spans="1:9">
      <c r="A2" s="1"/>
    </row>
    <row r="3" spans="1:9">
      <c r="A3" s="1" t="s">
        <v>96</v>
      </c>
    </row>
    <row r="4" spans="1:9" ht="45">
      <c r="A4" s="33" t="s">
        <v>97</v>
      </c>
      <c r="B4" s="32"/>
      <c r="C4" s="32"/>
      <c r="D4" s="32"/>
      <c r="E4" s="32"/>
      <c r="F4" s="32"/>
      <c r="G4" s="32"/>
      <c r="H4" s="32"/>
      <c r="I4" s="32"/>
    </row>
    <row r="5" spans="1:9">
      <c r="A5" s="1"/>
    </row>
    <row r="6" spans="1:9">
      <c r="A6" s="1" t="s">
        <v>98</v>
      </c>
    </row>
    <row r="7" spans="1:9" ht="45">
      <c r="A7" s="10" t="s">
        <v>99</v>
      </c>
      <c r="B7" s="10"/>
      <c r="C7" s="10"/>
      <c r="D7" s="10"/>
    </row>
    <row r="9" spans="1:9">
      <c r="A9" s="1" t="s">
        <v>100</v>
      </c>
    </row>
    <row r="10" spans="1:9">
      <c r="A10" s="12" t="s">
        <v>101</v>
      </c>
    </row>
    <row r="11" spans="1:9">
      <c r="A11" s="12" t="s">
        <v>102</v>
      </c>
    </row>
    <row r="12" spans="1:9">
      <c r="A12" s="12" t="s">
        <v>103</v>
      </c>
    </row>
    <row r="13" spans="1:9">
      <c r="A13" s="12" t="s">
        <v>104</v>
      </c>
    </row>
    <row r="14" spans="1:9">
      <c r="A14" s="12" t="s">
        <v>105</v>
      </c>
    </row>
    <row r="15" spans="1:9">
      <c r="A15" s="12" t="s">
        <v>106</v>
      </c>
    </row>
    <row r="16" spans="1:9" ht="30">
      <c r="A16" s="10" t="s">
        <v>107</v>
      </c>
      <c r="B16" s="10"/>
      <c r="C16" s="10"/>
      <c r="D16" s="10"/>
      <c r="E16" s="10"/>
      <c r="F16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A3" sqref="A3:B7"/>
    </sheetView>
  </sheetViews>
  <sheetFormatPr defaultRowHeight="15"/>
  <cols>
    <col min="1" max="1" width="13.140625" bestFit="1" customWidth="1"/>
    <col min="2" max="2" width="17.7109375" bestFit="1" customWidth="1"/>
  </cols>
  <sheetData>
    <row r="3" spans="1:2">
      <c r="A3" s="18" t="s">
        <v>69</v>
      </c>
      <c r="B3" s="3" t="s">
        <v>75</v>
      </c>
    </row>
    <row r="4" spans="1:2">
      <c r="A4" s="19" t="s">
        <v>76</v>
      </c>
      <c r="B4" s="20">
        <v>2</v>
      </c>
    </row>
    <row r="5" spans="1:2">
      <c r="A5" s="19" t="s">
        <v>77</v>
      </c>
      <c r="B5" s="20">
        <v>1</v>
      </c>
    </row>
    <row r="6" spans="1:2">
      <c r="A6" s="19" t="s">
        <v>78</v>
      </c>
      <c r="B6" s="20">
        <v>17</v>
      </c>
    </row>
    <row r="7" spans="1:2">
      <c r="A7" s="19" t="s">
        <v>70</v>
      </c>
      <c r="B7" s="2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Sheet4</vt:lpstr>
      <vt:lpstr>Sheet5</vt:lpstr>
      <vt:lpstr>Sheet6</vt:lpstr>
      <vt:lpstr>Dashboard</vt:lpstr>
      <vt:lpstr>PIA Dashboard</vt:lpstr>
      <vt:lpstr>Sheet3</vt:lpstr>
      <vt:lpstr>Sheet7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2026-10-08T16:30:46Z</dcterms:created>
  <dcterms:modified xsi:type="dcterms:W3CDTF">2026-10-08T21:09:15Z</dcterms:modified>
</cp:coreProperties>
</file>